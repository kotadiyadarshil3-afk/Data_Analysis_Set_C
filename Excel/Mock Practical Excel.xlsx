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bd0b99b86f847f/Documents/Mock Practical/Excel/"/>
    </mc:Choice>
  </mc:AlternateContent>
  <xr:revisionPtr revIDLastSave="1" documentId="8_{6F3DE771-D23B-4885-BC81-EA925E5CE9D3}" xr6:coauthVersionLast="47" xr6:coauthVersionMax="47" xr10:uidLastSave="{3723F950-079A-4BE1-B11B-F48935172DC4}"/>
  <bookViews>
    <workbookView xWindow="-108" yWindow="-108" windowWidth="23256" windowHeight="13176" activeTab="2" xr2:uid="{82DFEA55-2EDF-40C3-BAF2-483EEBFA321D}"/>
  </bookViews>
  <sheets>
    <sheet name="Raw" sheetId="2" r:id="rId1"/>
    <sheet name="Lookup " sheetId="3" r:id="rId2"/>
    <sheet name="Clean" sheetId="1" r:id="rId3"/>
    <sheet name="Summary sheet" sheetId="4" r:id="rId4"/>
  </sheets>
  <externalReferences>
    <externalReference r:id="rId5"/>
  </externalReferences>
  <definedNames>
    <definedName name="ExternalData_1" localSheetId="2" hidden="1">Clean!$A$1:$F$13</definedName>
    <definedName name="ExternalData_1" localSheetId="1" hidden="1">'Lookup '!$A$1:$C$5</definedName>
    <definedName name="ExternalData_1" localSheetId="0" hidden="1">Raw!$A$1:$F$14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2" i="4"/>
  <c r="H2" i="1"/>
  <c r="H3" i="1"/>
  <c r="H4" i="1"/>
  <c r="H5" i="1"/>
  <c r="H6" i="1"/>
  <c r="H7" i="1"/>
  <c r="H8" i="1"/>
  <c r="H9" i="1"/>
  <c r="H10" i="1"/>
  <c r="H11" i="1"/>
  <c r="H12" i="1"/>
  <c r="H13" i="1"/>
  <c r="B17" i="1"/>
  <c r="B1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1B769F-805B-441B-BC93-E77F0365ADDC}" keepAlive="1" name="Query - assessments" description="Connection to the 'assessments' query in the workbook." type="5" refreshedVersion="8" background="1" saveData="1">
    <dbPr connection="Provider=Microsoft.Mashup.OleDb.1;Data Source=$Workbook$;Location=assessments;Extended Properties=&quot;&quot;" command="SELECT * FROM [assessments]"/>
  </connection>
  <connection id="2" xr16:uid="{5C55C310-59D4-4C07-B621-40F54DA3E645}" keepAlive="1" name="Query - assessments (2)" description="Connection to the 'assessments (2)' query in the workbook." type="5" refreshedVersion="8" background="1" saveData="1">
    <dbPr connection="Provider=Microsoft.Mashup.OleDb.1;Data Source=$Workbook$;Location=&quot;assessments (2)&quot;;Extended Properties=&quot;&quot;" command="SELECT * FROM [assessments (2)]"/>
  </connection>
  <connection id="3" xr16:uid="{220AF92D-A909-405C-A303-C1C8CB75C71E}" keepAlive="1" name="Query - courses" description="Connection to the 'courses' query in the workbook." type="5" refreshedVersion="8" background="1" saveData="1">
    <dbPr connection="Provider=Microsoft.Mashup.OleDb.1;Data Source=$Workbook$;Location=courses;Extended Properties=&quot;&quot;" command="SELECT * FROM [courses]"/>
  </connection>
</connections>
</file>

<file path=xl/sharedStrings.xml><?xml version="1.0" encoding="utf-8"?>
<sst xmlns="http://schemas.openxmlformats.org/spreadsheetml/2006/main" count="131" uniqueCount="32">
  <si>
    <t>assessment_id</t>
  </si>
  <si>
    <t>month</t>
  </si>
  <si>
    <t>course_id</t>
  </si>
  <si>
    <t>batch</t>
  </si>
  <si>
    <t>score</t>
  </si>
  <si>
    <t>attendance_pct</t>
  </si>
  <si>
    <t>Jan</t>
  </si>
  <si>
    <t>C1</t>
  </si>
  <si>
    <t>Morning</t>
  </si>
  <si>
    <t>C2</t>
  </si>
  <si>
    <t>Evening</t>
  </si>
  <si>
    <t>C3</t>
  </si>
  <si>
    <t>C4</t>
  </si>
  <si>
    <t>Weekend</t>
  </si>
  <si>
    <t>Feb</t>
  </si>
  <si>
    <t>Mar</t>
  </si>
  <si>
    <t>course</t>
  </si>
  <si>
    <t>department</t>
  </si>
  <si>
    <t>Excel</t>
  </si>
  <si>
    <t>Business</t>
  </si>
  <si>
    <t>PowerBI</t>
  </si>
  <si>
    <t>SQL</t>
  </si>
  <si>
    <t>Technology</t>
  </si>
  <si>
    <t>Python</t>
  </si>
  <si>
    <t xml:space="preserve">Before Remove Duplicate </t>
  </si>
  <si>
    <t xml:space="preserve">After Remove Duplicate </t>
  </si>
  <si>
    <t>Pass Flag</t>
  </si>
  <si>
    <t>Department</t>
  </si>
  <si>
    <t>Row Labels</t>
  </si>
  <si>
    <t>Grand Total</t>
  </si>
  <si>
    <t>Column Labels</t>
  </si>
  <si>
    <t>Average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</si>
</sst>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"/>
              <c:pt idx="0">
                <c:v>Business</c:v>
              </c:pt>
              <c:pt idx="1">
                <c:v>Technology</c:v>
              </c:pt>
            </c:strLit>
          </c:cat>
          <c:val>
            <c:numLit>
              <c:formatCode>General</c:formatCode>
              <c:ptCount val="2"/>
              <c:pt idx="0">
                <c:v>58.5</c:v>
              </c:pt>
              <c:pt idx="1">
                <c:v>51.5</c:v>
              </c:pt>
            </c:numLit>
          </c:val>
          <c:extLst>
            <c:ext xmlns:c16="http://schemas.microsoft.com/office/drawing/2014/chart" uri="{C3380CC4-5D6E-409C-BE32-E72D297353CC}">
              <c16:uniqueId val="{00000000-F0B6-4CF5-9C89-E62F2CE14340}"/>
            </c:ext>
          </c:extLst>
        </c:ser>
        <c:ser>
          <c:idx val="1"/>
          <c:order val="1"/>
          <c:tx>
            <c:v>Feb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"/>
              <c:pt idx="0">
                <c:v>Business</c:v>
              </c:pt>
              <c:pt idx="1">
                <c:v>Technology</c:v>
              </c:pt>
            </c:strLit>
          </c:cat>
          <c:val>
            <c:numLit>
              <c:formatCode>General</c:formatCode>
              <c:ptCount val="2"/>
              <c:pt idx="0">
                <c:v>67.5</c:v>
              </c:pt>
              <c:pt idx="1">
                <c:v>58</c:v>
              </c:pt>
            </c:numLit>
          </c:val>
          <c:extLst>
            <c:ext xmlns:c16="http://schemas.microsoft.com/office/drawing/2014/chart" uri="{C3380CC4-5D6E-409C-BE32-E72D297353CC}">
              <c16:uniqueId val="{00000001-F0B6-4CF5-9C89-E62F2CE14340}"/>
            </c:ext>
          </c:extLst>
        </c:ser>
        <c:ser>
          <c:idx val="2"/>
          <c:order val="2"/>
          <c:tx>
            <c:v>Mar</c:v>
          </c:tx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"/>
              <c:pt idx="0">
                <c:v>Business</c:v>
              </c:pt>
              <c:pt idx="1">
                <c:v>Technology</c:v>
              </c:pt>
            </c:strLit>
          </c:cat>
          <c:val>
            <c:numLit>
              <c:formatCode>General</c:formatCode>
              <c:ptCount val="2"/>
              <c:pt idx="0">
                <c:v>75</c:v>
              </c:pt>
              <c:pt idx="1">
                <c:v>58.5</c:v>
              </c:pt>
            </c:numLit>
          </c:val>
          <c:extLst>
            <c:ext xmlns:c16="http://schemas.microsoft.com/office/drawing/2014/chart" uri="{C3380CC4-5D6E-409C-BE32-E72D297353CC}">
              <c16:uniqueId val="{00000002-F0B6-4CF5-9C89-E62F2CE14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08455311"/>
        <c:axId val="703904431"/>
      </c:barChart>
      <c:catAx>
        <c:axId val="130845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904431"/>
        <c:crosses val="autoZero"/>
        <c:auto val="1"/>
        <c:lblAlgn val="ctr"/>
        <c:lblOffset val="100"/>
        <c:noMultiLvlLbl val="0"/>
      </c:catAx>
      <c:valAx>
        <c:axId val="70390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45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6</xdr:col>
      <xdr:colOff>358140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FE33C3-DF37-4B63-8BEB-62085EA7E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ook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1.54793912037" createdVersion="8" refreshedVersion="8" minRefreshableVersion="3" recordCount="12" xr:uid="{1CA0A9D2-1365-40EC-9236-6B794AB689A5}">
  <cacheSource type="worksheet">
    <worksheetSource name="assessments4"/>
  </cacheSource>
  <cacheFields count="8">
    <cacheField name="assessment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course_id" numFmtId="0">
      <sharedItems/>
    </cacheField>
    <cacheField name="batch" numFmtId="0">
      <sharedItems/>
    </cacheField>
    <cacheField name="score" numFmtId="0">
      <sharedItems containsSemiMixedTypes="0" containsString="0" containsNumber="1" containsInteger="1" minValue="38" maxValue="90"/>
    </cacheField>
    <cacheField name="attendance_pct" numFmtId="0">
      <sharedItems containsSemiMixedTypes="0" containsString="0" containsNumber="1" containsInteger="1" minValue="60" maxValue="98"/>
    </cacheField>
    <cacheField name="Department" numFmtId="0">
      <sharedItems count="2">
        <s v="Business"/>
        <s v="Technology"/>
      </sharedItems>
    </cacheField>
    <cacheField name="Pass 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C1"/>
    <s v="Morning"/>
    <n v="72"/>
    <n v="90"/>
    <x v="0"/>
    <n v="1"/>
  </r>
  <r>
    <n v="2"/>
    <x v="0"/>
    <s v="C2"/>
    <s v="Evening"/>
    <n v="45"/>
    <n v="70"/>
    <x v="0"/>
    <n v="0"/>
  </r>
  <r>
    <n v="3"/>
    <x v="0"/>
    <s v="C3"/>
    <s v="Morning"/>
    <n v="65"/>
    <n v="85"/>
    <x v="1"/>
    <n v="1"/>
  </r>
  <r>
    <n v="4"/>
    <x v="0"/>
    <s v="C4"/>
    <s v="Weekend"/>
    <n v="38"/>
    <n v="60"/>
    <x v="1"/>
    <n v="0"/>
  </r>
  <r>
    <n v="5"/>
    <x v="1"/>
    <s v="C1"/>
    <s v="Evening"/>
    <n v="80"/>
    <n v="95"/>
    <x v="0"/>
    <n v="1"/>
  </r>
  <r>
    <n v="6"/>
    <x v="1"/>
    <s v="C2"/>
    <s v="Weekend"/>
    <n v="55"/>
    <n v="80"/>
    <x v="0"/>
    <n v="1"/>
  </r>
  <r>
    <n v="7"/>
    <x v="1"/>
    <s v="C3"/>
    <s v="Morning"/>
    <n v="48"/>
    <n v="75"/>
    <x v="1"/>
    <n v="0"/>
  </r>
  <r>
    <n v="8"/>
    <x v="1"/>
    <s v="C4"/>
    <s v="Evening"/>
    <n v="68"/>
    <n v="88"/>
    <x v="1"/>
    <n v="1"/>
  </r>
  <r>
    <n v="9"/>
    <x v="2"/>
    <s v="C1"/>
    <s v="Weekend"/>
    <n v="90"/>
    <n v="98"/>
    <x v="0"/>
    <n v="1"/>
  </r>
  <r>
    <n v="10"/>
    <x v="2"/>
    <s v="C2"/>
    <s v="Morning"/>
    <n v="60"/>
    <n v="82"/>
    <x v="0"/>
    <n v="1"/>
  </r>
  <r>
    <n v="11"/>
    <x v="2"/>
    <s v="C3"/>
    <s v="Evening"/>
    <n v="75"/>
    <n v="92"/>
    <x v="1"/>
    <n v="1"/>
  </r>
  <r>
    <n v="12"/>
    <x v="2"/>
    <s v="C4"/>
    <s v="Weekend"/>
    <n v="42"/>
    <n v="65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1B1A2-13A4-4256-970B-A6146911A11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10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score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4394FC-AC3D-44FB-AADB-C3883C731576}" autoFormatId="16" applyNumberFormats="0" applyBorderFormats="0" applyFontFormats="0" applyPatternFormats="0" applyAlignmentFormats="0" applyWidthHeightFormats="0">
  <queryTableRefresh nextId="7">
    <queryTableFields count="6">
      <queryTableField id="1" name="assessment_id" tableColumnId="1"/>
      <queryTableField id="2" name="month" tableColumnId="2"/>
      <queryTableField id="3" name="course_id" tableColumnId="3"/>
      <queryTableField id="4" name="batch" tableColumnId="4"/>
      <queryTableField id="5" name="score" tableColumnId="5"/>
      <queryTableField id="6" name="attendance_pc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9589158-C3FB-423D-9D70-22E418AE7DED}" autoFormatId="16" applyNumberFormats="0" applyBorderFormats="0" applyFontFormats="0" applyPatternFormats="0" applyAlignmentFormats="0" applyWidthHeightFormats="0">
  <queryTableRefresh nextId="4">
    <queryTableFields count="3">
      <queryTableField id="1" name="course_id" tableColumnId="1"/>
      <queryTableField id="2" name="course" tableColumnId="2"/>
      <queryTableField id="3" name="departme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4B8BE86-106C-4E0D-8E43-46F0E4DABB78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assessment_id" tableColumnId="1"/>
      <queryTableField id="2" name="month" tableColumnId="2"/>
      <queryTableField id="3" name="course_id" tableColumnId="3"/>
      <queryTableField id="4" name="batch" tableColumnId="4"/>
      <queryTableField id="5" name="score" tableColumnId="5"/>
      <queryTableField id="6" name="attendance_pct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AAE83A-2194-408F-A437-38121F55E896}" name="assessments" displayName="assessments" ref="A1:F14" tableType="queryTable" totalsRowShown="0">
  <autoFilter ref="A1:F14" xr:uid="{83AAE83A-2194-408F-A437-38121F55E896}"/>
  <tableColumns count="6">
    <tableColumn id="1" xr3:uid="{A90CEB4D-778A-4B6E-AD19-EDF4231E51AA}" uniqueName="1" name="assessment_id" queryTableFieldId="1"/>
    <tableColumn id="2" xr3:uid="{F88C89E9-8F84-494E-A136-CE5C02466C27}" uniqueName="2" name="month" queryTableFieldId="2" dataDxfId="10"/>
    <tableColumn id="3" xr3:uid="{AD7AFD79-19C2-4298-8873-9B38430A2870}" uniqueName="3" name="course_id" queryTableFieldId="3" dataDxfId="9"/>
    <tableColumn id="4" xr3:uid="{D3E93CE8-E131-40F8-AA4D-EB157C89FF1F}" uniqueName="4" name="batch" queryTableFieldId="4" dataDxfId="8"/>
    <tableColumn id="5" xr3:uid="{255BF4CB-E085-44A6-BB82-D04B75128200}" uniqueName="5" name="score" queryTableFieldId="5"/>
    <tableColumn id="6" xr3:uid="{AF3ED58F-4AE2-419D-89DF-1E1A56CB7764}" uniqueName="6" name="attendance_pct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3FF6F0-ABC9-4876-BCFF-3A939A4AF073}" name="courses" displayName="courses" ref="A1:C5" tableType="queryTable" totalsRowShown="0">
  <autoFilter ref="A1:C5" xr:uid="{8B3FF6F0-ABC9-4876-BCFF-3A939A4AF073}"/>
  <tableColumns count="3">
    <tableColumn id="1" xr3:uid="{4C0917AF-265D-4969-993B-09C7E660BFEC}" uniqueName="1" name="course_id" queryTableFieldId="1" dataDxfId="7"/>
    <tableColumn id="2" xr3:uid="{9767F598-9C5F-4EFD-A4E3-AB28D7E6DCC8}" uniqueName="2" name="course" queryTableFieldId="2" dataDxfId="6"/>
    <tableColumn id="3" xr3:uid="{3ED4A1C3-4D0F-4443-B7E2-96B6251F9F83}" uniqueName="3" name="department" queryTableFieldId="3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7CEB7E-9B08-445C-BA38-E00D5603CCC5}" name="assessments4" displayName="assessments4" ref="A1:H13" tableType="queryTable" totalsRowShown="0">
  <autoFilter ref="A1:H13" xr:uid="{047CEB7E-9B08-445C-BA38-E00D5603CCC5}"/>
  <tableColumns count="8">
    <tableColumn id="1" xr3:uid="{610587E4-5AF3-4E48-BDD2-D1E8D384B72B}" uniqueName="1" name="assessment_id" queryTableFieldId="1"/>
    <tableColumn id="2" xr3:uid="{01D0429E-8F84-4C57-8584-5B6DF9581B86}" uniqueName="2" name="month" queryTableFieldId="2" dataDxfId="4"/>
    <tableColumn id="3" xr3:uid="{81E227F0-E2A2-43DA-B45B-87471A39600C}" uniqueName="3" name="course_id" queryTableFieldId="3" dataDxfId="3"/>
    <tableColumn id="4" xr3:uid="{4AFD63B4-D2C7-43A7-8CBF-08D46A52FDA9}" uniqueName="4" name="batch" queryTableFieldId="4" dataDxfId="2"/>
    <tableColumn id="5" xr3:uid="{18367748-4F7F-4DCF-941D-B11FC7A6B032}" uniqueName="5" name="score" queryTableFieldId="5"/>
    <tableColumn id="6" xr3:uid="{7E903959-AE52-4DCA-8F93-4E020337D3B7}" uniqueName="6" name="attendance_pct" queryTableFieldId="6"/>
    <tableColumn id="7" xr3:uid="{5E534385-449E-45CC-9109-9BA0514C70C4}" uniqueName="7" name="Department" queryTableFieldId="7" dataDxfId="1">
      <calculatedColumnFormula>_xlfn.XLOOKUP(C2,[1]Lookup!$A$3:$A$6,[1]Lookup!$C$3:$C$6,"Not Found")</calculatedColumnFormula>
    </tableColumn>
    <tableColumn id="8" xr3:uid="{CA16F09A-5F7B-411E-810A-B78A03052E42}" uniqueName="8" name="Pass Flag" queryTableFieldId="8" dataDxfId="0">
      <calculatedColumnFormula>IF(assessments4[[#This Row],[score]]&gt;=50,1,0)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1505-2AFD-4245-BAD9-E9749FE27219}">
  <dimension ref="A1:F14"/>
  <sheetViews>
    <sheetView workbookViewId="0">
      <selection sqref="A1:F14"/>
    </sheetView>
  </sheetViews>
  <sheetFormatPr defaultRowHeight="14.4" x14ac:dyDescent="0.3"/>
  <cols>
    <col min="1" max="1" width="15.6640625" bestFit="1" customWidth="1"/>
    <col min="2" max="2" width="8.5546875" bestFit="1" customWidth="1"/>
    <col min="3" max="3" width="11.21875" bestFit="1" customWidth="1"/>
    <col min="4" max="4" width="8.5546875" bestFit="1" customWidth="1"/>
    <col min="5" max="5" width="7.77734375" bestFit="1" customWidth="1"/>
    <col min="6" max="6" width="16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>
        <v>72</v>
      </c>
      <c r="F2">
        <v>90</v>
      </c>
    </row>
    <row r="3" spans="1:6" x14ac:dyDescent="0.3">
      <c r="A3">
        <v>2</v>
      </c>
      <c r="B3" t="s">
        <v>6</v>
      </c>
      <c r="C3" t="s">
        <v>9</v>
      </c>
      <c r="D3" t="s">
        <v>10</v>
      </c>
      <c r="E3">
        <v>45</v>
      </c>
      <c r="F3">
        <v>70</v>
      </c>
    </row>
    <row r="4" spans="1:6" x14ac:dyDescent="0.3">
      <c r="A4">
        <v>3</v>
      </c>
      <c r="B4" t="s">
        <v>6</v>
      </c>
      <c r="C4" t="s">
        <v>11</v>
      </c>
      <c r="D4" t="s">
        <v>8</v>
      </c>
      <c r="E4">
        <v>65</v>
      </c>
      <c r="F4">
        <v>85</v>
      </c>
    </row>
    <row r="5" spans="1:6" x14ac:dyDescent="0.3">
      <c r="A5">
        <v>4</v>
      </c>
      <c r="B5" t="s">
        <v>6</v>
      </c>
      <c r="C5" t="s">
        <v>12</v>
      </c>
      <c r="D5" t="s">
        <v>13</v>
      </c>
      <c r="E5">
        <v>38</v>
      </c>
      <c r="F5">
        <v>60</v>
      </c>
    </row>
    <row r="6" spans="1:6" x14ac:dyDescent="0.3">
      <c r="A6">
        <v>5</v>
      </c>
      <c r="B6" t="s">
        <v>14</v>
      </c>
      <c r="C6" t="s">
        <v>7</v>
      </c>
      <c r="D6" t="s">
        <v>10</v>
      </c>
      <c r="E6">
        <v>80</v>
      </c>
      <c r="F6">
        <v>95</v>
      </c>
    </row>
    <row r="7" spans="1:6" x14ac:dyDescent="0.3">
      <c r="A7">
        <v>6</v>
      </c>
      <c r="B7" t="s">
        <v>14</v>
      </c>
      <c r="C7" t="s">
        <v>9</v>
      </c>
      <c r="D7" t="s">
        <v>13</v>
      </c>
      <c r="E7">
        <v>55</v>
      </c>
      <c r="F7">
        <v>80</v>
      </c>
    </row>
    <row r="8" spans="1:6" x14ac:dyDescent="0.3">
      <c r="A8">
        <v>7</v>
      </c>
      <c r="B8" t="s">
        <v>14</v>
      </c>
      <c r="C8" t="s">
        <v>11</v>
      </c>
      <c r="D8" t="s">
        <v>8</v>
      </c>
      <c r="E8">
        <v>48</v>
      </c>
      <c r="F8">
        <v>75</v>
      </c>
    </row>
    <row r="9" spans="1:6" x14ac:dyDescent="0.3">
      <c r="A9">
        <v>8</v>
      </c>
      <c r="B9" t="s">
        <v>14</v>
      </c>
      <c r="C9" t="s">
        <v>12</v>
      </c>
      <c r="D9" t="s">
        <v>10</v>
      </c>
      <c r="E9">
        <v>68</v>
      </c>
      <c r="F9">
        <v>88</v>
      </c>
    </row>
    <row r="10" spans="1:6" x14ac:dyDescent="0.3">
      <c r="A10">
        <v>9</v>
      </c>
      <c r="B10" t="s">
        <v>15</v>
      </c>
      <c r="C10" t="s">
        <v>7</v>
      </c>
      <c r="D10" t="s">
        <v>13</v>
      </c>
      <c r="E10">
        <v>90</v>
      </c>
      <c r="F10">
        <v>98</v>
      </c>
    </row>
    <row r="11" spans="1:6" x14ac:dyDescent="0.3">
      <c r="A11">
        <v>10</v>
      </c>
      <c r="B11" t="s">
        <v>15</v>
      </c>
      <c r="C11" t="s">
        <v>9</v>
      </c>
      <c r="D11" t="s">
        <v>8</v>
      </c>
      <c r="E11">
        <v>60</v>
      </c>
      <c r="F11">
        <v>82</v>
      </c>
    </row>
    <row r="12" spans="1:6" x14ac:dyDescent="0.3">
      <c r="A12">
        <v>11</v>
      </c>
      <c r="B12" t="s">
        <v>15</v>
      </c>
      <c r="C12" t="s">
        <v>11</v>
      </c>
      <c r="D12" t="s">
        <v>10</v>
      </c>
      <c r="E12">
        <v>75</v>
      </c>
      <c r="F12">
        <v>92</v>
      </c>
    </row>
    <row r="13" spans="1:6" x14ac:dyDescent="0.3">
      <c r="A13">
        <v>12</v>
      </c>
      <c r="B13" t="s">
        <v>15</v>
      </c>
      <c r="C13" t="s">
        <v>12</v>
      </c>
      <c r="D13" t="s">
        <v>13</v>
      </c>
      <c r="E13">
        <v>42</v>
      </c>
      <c r="F13">
        <v>65</v>
      </c>
    </row>
    <row r="14" spans="1:6" x14ac:dyDescent="0.3">
      <c r="A14">
        <v>12</v>
      </c>
      <c r="B14" t="s">
        <v>15</v>
      </c>
      <c r="C14" t="s">
        <v>12</v>
      </c>
      <c r="D14" t="s">
        <v>13</v>
      </c>
      <c r="E14">
        <v>42</v>
      </c>
      <c r="F14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B3A7-CA28-4F5D-8B57-570845895D1F}">
  <dimension ref="A1:C5"/>
  <sheetViews>
    <sheetView workbookViewId="0">
      <selection activeCell="C4" sqref="C4"/>
    </sheetView>
  </sheetViews>
  <sheetFormatPr defaultRowHeight="14.4" x14ac:dyDescent="0.3"/>
  <cols>
    <col min="1" max="1" width="11.21875" bestFit="1" customWidth="1"/>
    <col min="2" max="2" width="8.77734375" bestFit="1" customWidth="1"/>
    <col min="3" max="3" width="13.109375" bestFit="1" customWidth="1"/>
  </cols>
  <sheetData>
    <row r="1" spans="1:3" x14ac:dyDescent="0.3">
      <c r="A1" t="s">
        <v>2</v>
      </c>
      <c r="B1" t="s">
        <v>16</v>
      </c>
      <c r="C1" t="s">
        <v>17</v>
      </c>
    </row>
    <row r="2" spans="1:3" x14ac:dyDescent="0.3">
      <c r="A2" t="s">
        <v>7</v>
      </c>
      <c r="B2" t="s">
        <v>18</v>
      </c>
      <c r="C2" t="s">
        <v>19</v>
      </c>
    </row>
    <row r="3" spans="1:3" x14ac:dyDescent="0.3">
      <c r="A3" t="s">
        <v>9</v>
      </c>
      <c r="B3" t="s">
        <v>20</v>
      </c>
      <c r="C3" t="s">
        <v>19</v>
      </c>
    </row>
    <row r="4" spans="1:3" x14ac:dyDescent="0.3">
      <c r="A4" t="s">
        <v>11</v>
      </c>
      <c r="B4" t="s">
        <v>21</v>
      </c>
      <c r="C4" t="s">
        <v>22</v>
      </c>
    </row>
    <row r="5" spans="1:3" x14ac:dyDescent="0.3">
      <c r="A5" t="s">
        <v>12</v>
      </c>
      <c r="B5" t="s">
        <v>23</v>
      </c>
      <c r="C5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FDAE-82C0-42E2-A616-650E07FD0236}">
  <dimension ref="A1:H17"/>
  <sheetViews>
    <sheetView tabSelected="1" workbookViewId="0">
      <selection activeCell="D17" sqref="D17"/>
    </sheetView>
  </sheetViews>
  <sheetFormatPr defaultRowHeight="14.4" x14ac:dyDescent="0.3"/>
  <cols>
    <col min="1" max="1" width="24.5546875" bestFit="1" customWidth="1"/>
    <col min="7" max="7" width="56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</v>
      </c>
      <c r="H1" t="s">
        <v>26</v>
      </c>
    </row>
    <row r="2" spans="1:8" x14ac:dyDescent="0.3">
      <c r="A2">
        <v>1</v>
      </c>
      <c r="B2" t="s">
        <v>6</v>
      </c>
      <c r="C2" t="s">
        <v>7</v>
      </c>
      <c r="D2" t="s">
        <v>8</v>
      </c>
      <c r="E2">
        <v>72</v>
      </c>
      <c r="F2">
        <v>90</v>
      </c>
      <c r="G2" t="s">
        <v>19</v>
      </c>
      <c r="H2">
        <f>IF(assessments4[[#This Row],[score]]&gt;=50,1,0)</f>
        <v>1</v>
      </c>
    </row>
    <row r="3" spans="1:8" x14ac:dyDescent="0.3">
      <c r="A3">
        <v>2</v>
      </c>
      <c r="B3" t="s">
        <v>6</v>
      </c>
      <c r="C3" t="s">
        <v>9</v>
      </c>
      <c r="D3" t="s">
        <v>10</v>
      </c>
      <c r="E3">
        <v>45</v>
      </c>
      <c r="F3">
        <v>70</v>
      </c>
      <c r="G3" t="s">
        <v>19</v>
      </c>
      <c r="H3">
        <f>IF(assessments4[[#This Row],[score]]&gt;=50,1,0)</f>
        <v>0</v>
      </c>
    </row>
    <row r="4" spans="1:8" x14ac:dyDescent="0.3">
      <c r="A4">
        <v>3</v>
      </c>
      <c r="B4" t="s">
        <v>6</v>
      </c>
      <c r="C4" t="s">
        <v>11</v>
      </c>
      <c r="D4" t="s">
        <v>8</v>
      </c>
      <c r="E4">
        <v>65</v>
      </c>
      <c r="F4">
        <v>85</v>
      </c>
      <c r="G4" t="s">
        <v>22</v>
      </c>
      <c r="H4">
        <f>IF(assessments4[[#This Row],[score]]&gt;=50,1,0)</f>
        <v>1</v>
      </c>
    </row>
    <row r="5" spans="1:8" x14ac:dyDescent="0.3">
      <c r="A5">
        <v>4</v>
      </c>
      <c r="B5" t="s">
        <v>6</v>
      </c>
      <c r="C5" t="s">
        <v>12</v>
      </c>
      <c r="D5" t="s">
        <v>13</v>
      </c>
      <c r="E5">
        <v>38</v>
      </c>
      <c r="F5">
        <v>60</v>
      </c>
      <c r="G5" t="s">
        <v>22</v>
      </c>
      <c r="H5">
        <f>IF(assessments4[[#This Row],[score]]&gt;=50,1,0)</f>
        <v>0</v>
      </c>
    </row>
    <row r="6" spans="1:8" x14ac:dyDescent="0.3">
      <c r="A6">
        <v>5</v>
      </c>
      <c r="B6" t="s">
        <v>14</v>
      </c>
      <c r="C6" t="s">
        <v>7</v>
      </c>
      <c r="D6" t="s">
        <v>10</v>
      </c>
      <c r="E6">
        <v>80</v>
      </c>
      <c r="F6">
        <v>95</v>
      </c>
      <c r="G6" t="s">
        <v>19</v>
      </c>
      <c r="H6">
        <f>IF(assessments4[[#This Row],[score]]&gt;=50,1,0)</f>
        <v>1</v>
      </c>
    </row>
    <row r="7" spans="1:8" x14ac:dyDescent="0.3">
      <c r="A7">
        <v>6</v>
      </c>
      <c r="B7" t="s">
        <v>14</v>
      </c>
      <c r="C7" t="s">
        <v>9</v>
      </c>
      <c r="D7" t="s">
        <v>13</v>
      </c>
      <c r="E7">
        <v>55</v>
      </c>
      <c r="F7">
        <v>80</v>
      </c>
      <c r="G7" t="s">
        <v>19</v>
      </c>
      <c r="H7">
        <f>IF(assessments4[[#This Row],[score]]&gt;=50,1,0)</f>
        <v>1</v>
      </c>
    </row>
    <row r="8" spans="1:8" x14ac:dyDescent="0.3">
      <c r="A8">
        <v>7</v>
      </c>
      <c r="B8" t="s">
        <v>14</v>
      </c>
      <c r="C8" t="s">
        <v>11</v>
      </c>
      <c r="D8" t="s">
        <v>8</v>
      </c>
      <c r="E8">
        <v>48</v>
      </c>
      <c r="F8">
        <v>75</v>
      </c>
      <c r="G8" t="s">
        <v>22</v>
      </c>
      <c r="H8">
        <f>IF(assessments4[[#This Row],[score]]&gt;=50,1,0)</f>
        <v>0</v>
      </c>
    </row>
    <row r="9" spans="1:8" x14ac:dyDescent="0.3">
      <c r="A9">
        <v>8</v>
      </c>
      <c r="B9" t="s">
        <v>14</v>
      </c>
      <c r="C9" t="s">
        <v>12</v>
      </c>
      <c r="D9" t="s">
        <v>10</v>
      </c>
      <c r="E9">
        <v>68</v>
      </c>
      <c r="F9">
        <v>88</v>
      </c>
      <c r="G9" t="s">
        <v>22</v>
      </c>
      <c r="H9">
        <f>IF(assessments4[[#This Row],[score]]&gt;=50,1,0)</f>
        <v>1</v>
      </c>
    </row>
    <row r="10" spans="1:8" x14ac:dyDescent="0.3">
      <c r="A10">
        <v>9</v>
      </c>
      <c r="B10" t="s">
        <v>15</v>
      </c>
      <c r="C10" t="s">
        <v>7</v>
      </c>
      <c r="D10" t="s">
        <v>13</v>
      </c>
      <c r="E10">
        <v>90</v>
      </c>
      <c r="F10">
        <v>98</v>
      </c>
      <c r="G10" t="s">
        <v>19</v>
      </c>
      <c r="H10">
        <f>IF(assessments4[[#This Row],[score]]&gt;=50,1,0)</f>
        <v>1</v>
      </c>
    </row>
    <row r="11" spans="1:8" x14ac:dyDescent="0.3">
      <c r="A11">
        <v>10</v>
      </c>
      <c r="B11" t="s">
        <v>15</v>
      </c>
      <c r="C11" t="s">
        <v>9</v>
      </c>
      <c r="D11" t="s">
        <v>8</v>
      </c>
      <c r="E11">
        <v>60</v>
      </c>
      <c r="F11">
        <v>82</v>
      </c>
      <c r="G11" t="s">
        <v>19</v>
      </c>
      <c r="H11">
        <f>IF(assessments4[[#This Row],[score]]&gt;=50,1,0)</f>
        <v>1</v>
      </c>
    </row>
    <row r="12" spans="1:8" x14ac:dyDescent="0.3">
      <c r="A12">
        <v>11</v>
      </c>
      <c r="B12" t="s">
        <v>15</v>
      </c>
      <c r="C12" t="s">
        <v>11</v>
      </c>
      <c r="D12" t="s">
        <v>10</v>
      </c>
      <c r="E12">
        <v>75</v>
      </c>
      <c r="F12">
        <v>92</v>
      </c>
      <c r="G12" t="s">
        <v>22</v>
      </c>
      <c r="H12">
        <f>IF(assessments4[[#This Row],[score]]&gt;=50,1,0)</f>
        <v>1</v>
      </c>
    </row>
    <row r="13" spans="1:8" x14ac:dyDescent="0.3">
      <c r="A13">
        <v>12</v>
      </c>
      <c r="B13" t="s">
        <v>15</v>
      </c>
      <c r="C13" t="s">
        <v>12</v>
      </c>
      <c r="D13" t="s">
        <v>13</v>
      </c>
      <c r="E13">
        <v>42</v>
      </c>
      <c r="F13">
        <v>65</v>
      </c>
      <c r="G13" t="s">
        <v>22</v>
      </c>
      <c r="H13">
        <f>IF(assessments4[[#This Row],[score]]&gt;=50,1,0)</f>
        <v>0</v>
      </c>
    </row>
    <row r="16" spans="1:8" x14ac:dyDescent="0.3">
      <c r="A16" s="1" t="s">
        <v>24</v>
      </c>
      <c r="B16">
        <f>COUNT(assessments[assessment_id])</f>
        <v>13</v>
      </c>
    </row>
    <row r="17" spans="1:2" x14ac:dyDescent="0.3">
      <c r="A17" t="s">
        <v>25</v>
      </c>
      <c r="B17">
        <f>COUNT(assessments4[assessment_id])</f>
        <v>12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E9D0A-DCB8-4D35-8D89-0187DA3F6827}">
  <dimension ref="A2:E10"/>
  <sheetViews>
    <sheetView workbookViewId="0">
      <selection activeCell="D6" sqref="D6"/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4" width="6" bestFit="1" customWidth="1"/>
    <col min="5" max="5" width="10.5546875" bestFit="1" customWidth="1"/>
  </cols>
  <sheetData>
    <row r="2" spans="1:5" x14ac:dyDescent="0.3">
      <c r="A2" s="1" t="s">
        <v>8</v>
      </c>
      <c r="B2">
        <f>COUNTIFS(Clean!D:D,"Morning",Clean!H:H,1)</f>
        <v>3</v>
      </c>
    </row>
    <row r="3" spans="1:5" x14ac:dyDescent="0.3">
      <c r="A3" t="s">
        <v>10</v>
      </c>
      <c r="B3">
        <f>COUNTIFS(Clean!D:D,"Morning",Clean!H:H,1)</f>
        <v>3</v>
      </c>
    </row>
    <row r="4" spans="1:5" x14ac:dyDescent="0.3">
      <c r="A4" t="s">
        <v>13</v>
      </c>
      <c r="B4">
        <f>COUNTIFS(Clean!D:D,"Morning",Clean!H:H,1)</f>
        <v>3</v>
      </c>
    </row>
    <row r="6" spans="1:5" x14ac:dyDescent="0.3">
      <c r="A6" s="2" t="s">
        <v>31</v>
      </c>
      <c r="B6" s="2" t="s">
        <v>30</v>
      </c>
    </row>
    <row r="7" spans="1:5" x14ac:dyDescent="0.3">
      <c r="A7" s="2" t="s">
        <v>28</v>
      </c>
      <c r="B7" t="s">
        <v>6</v>
      </c>
      <c r="C7" t="s">
        <v>14</v>
      </c>
      <c r="D7" t="s">
        <v>15</v>
      </c>
      <c r="E7" t="s">
        <v>29</v>
      </c>
    </row>
    <row r="8" spans="1:5" x14ac:dyDescent="0.3">
      <c r="A8" s="3" t="s">
        <v>19</v>
      </c>
      <c r="B8">
        <v>58.5</v>
      </c>
      <c r="C8">
        <v>67.5</v>
      </c>
      <c r="D8">
        <v>75</v>
      </c>
      <c r="E8">
        <v>67</v>
      </c>
    </row>
    <row r="9" spans="1:5" x14ac:dyDescent="0.3">
      <c r="A9" s="3" t="s">
        <v>22</v>
      </c>
      <c r="B9">
        <v>51.5</v>
      </c>
      <c r="C9">
        <v>58</v>
      </c>
      <c r="D9">
        <v>58.5</v>
      </c>
      <c r="E9">
        <v>56</v>
      </c>
    </row>
    <row r="10" spans="1:5" x14ac:dyDescent="0.3">
      <c r="A10" s="3" t="s">
        <v>29</v>
      </c>
      <c r="B10">
        <v>55</v>
      </c>
      <c r="C10">
        <v>62.75</v>
      </c>
      <c r="D10">
        <v>66.75</v>
      </c>
      <c r="E10">
        <v>61.5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718043-FEEA-40D8-AD25-17D7580029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 </vt:lpstr>
      <vt:lpstr>Clean</vt:lpstr>
      <vt:lpstr>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 Student</dc:creator>
  <cp:lastModifiedBy>Home Student</cp:lastModifiedBy>
  <dcterms:created xsi:type="dcterms:W3CDTF">2026-09-26T07:13:59Z</dcterms:created>
  <dcterms:modified xsi:type="dcterms:W3CDTF">2026-09-26T10:59:17Z</dcterms:modified>
</cp:coreProperties>
</file>